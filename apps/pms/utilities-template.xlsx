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<sst xmlns="http://schemas.openxmlformats.org/spreadsheetml/2006/main" count="232" uniqueCount="71">
  <si>
    <t>BILLING STATEMENT Santorini</t>
  </si>
  <si>
    <t>BILLING STATEMENT Barcelona</t>
  </si>
  <si>
    <t>Nama</t>
  </si>
  <si>
    <t>:</t>
  </si>
  <si>
    <t>BUN HARTO</t>
  </si>
  <si>
    <t>Telpon</t>
  </si>
  <si>
    <t>No Unit</t>
  </si>
  <si>
    <t>BAR</t>
  </si>
  <si>
    <t>Periode</t>
  </si>
  <si>
    <t>-</t>
  </si>
  <si>
    <t>No.Billing</t>
  </si>
  <si>
    <t>/</t>
  </si>
  <si>
    <t>Tanggal</t>
  </si>
  <si>
    <t>Deskripsi</t>
  </si>
  <si>
    <t>Biaya (Rp)</t>
  </si>
  <si>
    <t>Service Charge</t>
  </si>
  <si>
    <t>Perhitungan tipe unit</t>
  </si>
  <si>
    <r>
      <rPr>
        <rFont val="Calibri"/>
        <color theme="1"/>
      </rPr>
      <t>m</t>
    </r>
    <r>
      <rPr>
        <rFont val="Calibri"/>
        <color rgb="FF000000"/>
        <sz val="10.0"/>
        <vertAlign val="superscript"/>
      </rPr>
      <t>2</t>
    </r>
  </si>
  <si>
    <t>X</t>
  </si>
  <si>
    <r>
      <rPr>
        <rFont val="Calibri"/>
        <color theme="1"/>
      </rPr>
      <t>Rp/M</t>
    </r>
    <r>
      <rPr>
        <rFont val="Calibri"/>
        <color rgb="FF000000"/>
        <sz val="10.0"/>
        <vertAlign val="superscript"/>
      </rPr>
      <t>2</t>
    </r>
  </si>
  <si>
    <r>
      <rPr>
        <rFont val="Calibri"/>
        <color theme="1"/>
      </rPr>
      <t>m</t>
    </r>
    <r>
      <rPr>
        <rFont val="Calibri"/>
        <color rgb="FF000000"/>
        <sz val="10.0"/>
        <vertAlign val="superscript"/>
      </rPr>
      <t>2</t>
    </r>
  </si>
  <si>
    <r>
      <rPr>
        <rFont val="Calibri"/>
        <color theme="1"/>
      </rPr>
      <t>Rp/M</t>
    </r>
    <r>
      <rPr>
        <rFont val="Calibri"/>
        <color rgb="FF000000"/>
        <sz val="10.0"/>
        <vertAlign val="superscript"/>
      </rPr>
      <t>2</t>
    </r>
  </si>
  <si>
    <t>Sinking Fund</t>
  </si>
  <si>
    <t>dari Service Charge</t>
  </si>
  <si>
    <t>Listrik (Electricity)</t>
  </si>
  <si>
    <t>Konsumsi</t>
  </si>
  <si>
    <t>kWh</t>
  </si>
  <si>
    <t>s.d</t>
  </si>
  <si>
    <t>Pemakaian / Usage</t>
  </si>
  <si>
    <t>Minimum pakai</t>
  </si>
  <si>
    <t>jam</t>
  </si>
  <si>
    <t>kVA</t>
  </si>
  <si>
    <t>Tagihan terhutang</t>
  </si>
  <si>
    <t>Rp/kWh</t>
  </si>
  <si>
    <t>Pemeliharaan Meter</t>
  </si>
  <si>
    <t>konstan</t>
  </si>
  <si>
    <t>Area Publik (PJU)</t>
  </si>
  <si>
    <t>Handling Charge</t>
  </si>
  <si>
    <t>Rp</t>
  </si>
  <si>
    <t>Air Bersih (Water Consumption)</t>
  </si>
  <si>
    <r>
      <rPr>
        <rFont val="Calibri"/>
        <color theme="1"/>
      </rPr>
      <t>m</t>
    </r>
    <r>
      <rPr>
        <rFont val="Calibri"/>
        <color rgb="FF000000"/>
        <sz val="10.0"/>
        <vertAlign val="superscript"/>
      </rPr>
      <t>3</t>
    </r>
  </si>
  <si>
    <r>
      <rPr>
        <rFont val="Calibri"/>
        <color theme="1"/>
      </rPr>
      <t>m</t>
    </r>
    <r>
      <rPr>
        <rFont val="Calibri"/>
        <color rgb="FF000000"/>
        <sz val="10.0"/>
        <vertAlign val="superscript"/>
      </rPr>
      <t>3</t>
    </r>
  </si>
  <si>
    <r>
      <rPr>
        <rFont val="Calibri"/>
        <color theme="1"/>
      </rPr>
      <t>m</t>
    </r>
    <r>
      <rPr>
        <rFont val="Calibri"/>
        <color rgb="FF000000"/>
        <sz val="10.0"/>
        <vertAlign val="superscript"/>
      </rPr>
      <t>3</t>
    </r>
  </si>
  <si>
    <r>
      <rPr>
        <rFont val="Calibri"/>
        <color theme="1"/>
      </rPr>
      <t>m</t>
    </r>
    <r>
      <rPr>
        <rFont val="Calibri"/>
        <color rgb="FF000000"/>
        <sz val="10.0"/>
        <vertAlign val="superscript"/>
      </rPr>
      <t>3</t>
    </r>
  </si>
  <si>
    <r>
      <rPr>
        <rFont val="Calibri"/>
        <color theme="1"/>
      </rPr>
      <t>m</t>
    </r>
    <r>
      <rPr>
        <rFont val="Calibri"/>
        <color rgb="FF000000"/>
        <sz val="10.0"/>
        <vertAlign val="superscript"/>
      </rPr>
      <t>3</t>
    </r>
  </si>
  <si>
    <r>
      <rPr>
        <rFont val="Calibri"/>
        <color theme="1"/>
      </rPr>
      <t>Rp/m</t>
    </r>
    <r>
      <rPr>
        <rFont val="Calibri"/>
        <color rgb="FF000000"/>
        <sz val="10.0"/>
        <vertAlign val="superscript"/>
      </rPr>
      <t>3</t>
    </r>
  </si>
  <si>
    <r>
      <rPr>
        <rFont val="Calibri"/>
        <color theme="1"/>
      </rPr>
      <t>m</t>
    </r>
    <r>
      <rPr>
        <rFont val="Calibri"/>
        <color rgb="FF000000"/>
        <sz val="10.0"/>
        <vertAlign val="superscript"/>
      </rPr>
      <t>3</t>
    </r>
  </si>
  <si>
    <r>
      <rPr>
        <rFont val="Calibri"/>
        <color theme="1"/>
      </rPr>
      <t>Rp/m</t>
    </r>
    <r>
      <rPr>
        <rFont val="Calibri"/>
        <color rgb="FF000000"/>
        <sz val="10.0"/>
        <vertAlign val="superscript"/>
      </rPr>
      <t>3</t>
    </r>
  </si>
  <si>
    <t>Abodemen</t>
  </si>
  <si>
    <t>Hasil Akhir Tagihan :</t>
  </si>
  <si>
    <t>Tagihan Bulan ini</t>
  </si>
  <si>
    <t>kurang pembayaran</t>
  </si>
  <si>
    <t>Tagihan yang harus dibayar saat ini adalah</t>
  </si>
  <si>
    <t>Catatan :</t>
  </si>
  <si>
    <r>
      <rPr>
        <rFont val="Calibri"/>
        <color theme="1"/>
      </rPr>
      <t>- Tanggal Jatuh tempo adalah tanggal 14 setiap bulannya. Pembayaran telat dikenakan denda 1</t>
    </r>
    <r>
      <rPr>
        <rFont val="Calibri"/>
        <color rgb="FF000000"/>
        <sz val="10.0"/>
      </rPr>
      <t xml:space="preserve">% per </t>
    </r>
    <r>
      <rPr>
        <rFont val="Calibri"/>
        <color rgb="FF000000"/>
        <sz val="10.0"/>
      </rPr>
      <t>hari</t>
    </r>
  </si>
  <si>
    <r>
      <rPr>
        <rFont val="Calibri"/>
        <color theme="1"/>
      </rPr>
      <t>- Tanggal Jatuh tempo adalah tanggal 14 setiap bulannya. Pembayaran telat dikenakan denda 1</t>
    </r>
    <r>
      <rPr>
        <rFont val="Calibri"/>
        <color rgb="FF000000"/>
        <sz val="10.0"/>
      </rPr>
      <t xml:space="preserve">% per </t>
    </r>
    <r>
      <rPr>
        <rFont val="Calibri"/>
        <color rgb="FF000000"/>
        <sz val="10.0"/>
      </rPr>
      <t>hari</t>
    </r>
  </si>
  <si>
    <t>Cara Pembayaran</t>
  </si>
  <si>
    <t xml:space="preserve">: </t>
  </si>
  <si>
    <t>- Pembayaran dapat ditransfer ke rekening berikut :</t>
  </si>
  <si>
    <t xml:space="preserve">Nama Bank </t>
  </si>
  <si>
    <t>BANK RAKYAT INDONESIA  (BRI)</t>
  </si>
  <si>
    <t>A.N</t>
  </si>
  <si>
    <t>PERUMNAS PROJECT SUKARAMAI</t>
  </si>
  <si>
    <t>No. Rek</t>
  </si>
  <si>
    <t>036701001560300</t>
  </si>
  <si>
    <t>- Apabila penghuni belum melunasi tagihan, maka pengelola berhak melakukan pemutusan sementara</t>
  </si>
  <si>
    <t>- Surat tagihan ini adalah cetakan komputer dan tidak memerlukan tanda tangan</t>
  </si>
  <si>
    <t xml:space="preserve">- Pembayaran hanya di terima apabila melalui no rekening di atas. </t>
  </si>
  <si>
    <r>
      <rPr>
        <rFont val="Calibri"/>
        <b/>
        <color theme="1"/>
      </rPr>
      <t xml:space="preserve">- Bukti transfer pembayaran harap di kirim ke no </t>
    </r>
    <r>
      <rPr>
        <rFont val="Calibri"/>
        <b/>
        <color rgb="FFFF0000"/>
      </rPr>
      <t>087842363856</t>
    </r>
    <r>
      <rPr>
        <rFont val="Calibri"/>
        <b/>
        <color theme="1"/>
      </rPr>
      <t xml:space="preserve">. </t>
    </r>
  </si>
  <si>
    <r>
      <rPr>
        <rFont val="Calibri"/>
        <b/>
        <color theme="1"/>
      </rPr>
      <t xml:space="preserve">- Bukti transfer pembayaran harap di kirim ke no </t>
    </r>
    <r>
      <rPr>
        <rFont val="Calibri"/>
        <b/>
        <color rgb="FFFF0000"/>
      </rPr>
      <t>087842363856</t>
    </r>
    <r>
      <rPr>
        <rFont val="Calibri"/>
        <b/>
        <color theme="1"/>
      </rPr>
      <t xml:space="preserve">. </t>
    </r>
  </si>
  <si>
    <t>- Jika tidak mengirim bukti pembayaran, maka dianggap belum melakukan pembayaran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</si>
</sst>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.00_);_(* \(#,##0.00\);_(* &quot;-&quot;??_);_(@_)"/>
    <numFmt numFmtId="165" formatCode="D/M/YYYY"/>
    <numFmt numFmtId="166" formatCode="dd&quot;-&quot;mm&quot;-&quot;yy"/>
    <numFmt numFmtId="167" formatCode="_(* #,##0_);_(* \(#,##0\);_(* &quot;-&quot;??_);_(@_)"/>
    <numFmt numFmtId="168" formatCode="dd&quot;/&quot;mm&quot;/&quot;yyyy"/>
    <numFmt numFmtId="169" formatCode="0.0"/>
  </numFmts>
  <fonts count="16">
    <font>
      <sz val="10.0"/>
      <color rgb="FF000000"/>
      <name val="Arial"/>
      <scheme val="minor"/>
    </font>
    <font>
      <color theme="1"/>
      <name val="Arial"/>
    </font>
    <font>
      <b/>
      <u/>
      <sz val="18.0"/>
      <color theme="1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  <font>
      <b/>
      <sz val="15.0"/>
      <color theme="1"/>
      <name val="Calibri"/>
    </font>
    <font/>
    <font>
      <b/>
      <u/>
      <sz val="11.0"/>
      <color theme="1"/>
      <name val="Calibri"/>
    </font>
    <font>
      <i/>
      <color theme="1"/>
      <name val="Calibri"/>
    </font>
    <font>
      <color theme="1"/>
      <name val="Calibri"/>
    </font>
    <font>
      <b/>
      <color theme="1"/>
      <name val="Calibri"/>
    </font>
    <font>
      <b/>
      <u/>
      <sz val="11.0"/>
      <color theme="1"/>
      <name val="Calibri"/>
    </font>
    <font>
      <b/>
      <sz val="12.0"/>
      <color theme="1"/>
      <name val="Calibri"/>
    </font>
    <font>
      <u/>
      <sz val="9.0"/>
      <color theme="1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top style="thick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horizontal="center" readingOrder="0" vertical="bottom"/>
    </xf>
    <xf borderId="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6" fillId="0" fontId="1" numFmtId="164" xfId="0" applyAlignment="1" applyBorder="1" applyFont="1" applyNumberFormat="1">
      <alignment vertical="bottom"/>
    </xf>
    <xf borderId="6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8" fillId="0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5" numFmtId="166" xfId="0" applyAlignment="1" applyBorder="1" applyFont="1" applyNumberForma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166" xfId="0" applyAlignment="1" applyBorder="1" applyFont="1" applyNumberFormat="1">
      <alignment vertical="bottom"/>
    </xf>
    <xf borderId="6" fillId="0" fontId="7" numFmtId="0" xfId="0" applyBorder="1" applyFont="1"/>
    <xf borderId="9" fillId="0" fontId="1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2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right" vertical="bottom"/>
    </xf>
    <xf borderId="6" fillId="0" fontId="3" numFmtId="165" xfId="0" applyAlignment="1" applyBorder="1" applyFont="1" applyNumberFormat="1">
      <alignment vertical="bottom"/>
    </xf>
    <xf borderId="6" fillId="0" fontId="1" numFmtId="167" xfId="0" applyAlignment="1" applyBorder="1" applyFont="1" applyNumberFormat="1">
      <alignment vertical="bottom"/>
    </xf>
    <xf borderId="6" fillId="0" fontId="3" numFmtId="167" xfId="0" applyAlignment="1" applyBorder="1" applyFont="1" applyNumberFormat="1">
      <alignment horizontal="center" vertical="bottom"/>
    </xf>
    <xf borderId="10" fillId="0" fontId="1" numFmtId="0" xfId="0" applyAlignment="1" applyBorder="1" applyFont="1">
      <alignment vertical="bottom"/>
    </xf>
    <xf borderId="0" fillId="0" fontId="5" numFmtId="168" xfId="0" applyAlignment="1" applyFont="1" applyNumberFormat="1">
      <alignment vertical="bottom"/>
    </xf>
    <xf borderId="0" fillId="0" fontId="1" numFmtId="9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10" numFmtId="167" xfId="0" applyAlignment="1" applyFont="1" applyNumberFormat="1">
      <alignment horizontal="right" vertical="bottom"/>
    </xf>
    <xf borderId="0" fillId="0" fontId="11" numFmtId="167" xfId="0" applyAlignment="1" applyFont="1" applyNumberFormat="1">
      <alignment horizontal="right" vertical="bottom"/>
    </xf>
    <xf borderId="0" fillId="0" fontId="10" numFmtId="9" xfId="0" applyAlignment="1" applyFont="1" applyNumberFormat="1">
      <alignment horizontal="right" vertical="bottom"/>
    </xf>
    <xf borderId="0" fillId="0" fontId="10" numFmtId="165" xfId="0" applyAlignment="1" applyFont="1" applyNumberFormat="1">
      <alignment vertical="bottom"/>
    </xf>
    <xf borderId="0" fillId="0" fontId="1" numFmtId="169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0" numFmtId="169" xfId="0" applyAlignment="1" applyFont="1" applyNumberFormat="1">
      <alignment horizontal="right" vertical="bottom"/>
    </xf>
    <xf borderId="0" fillId="0" fontId="5" numFmtId="167" xfId="0" applyAlignment="1" applyFont="1" applyNumberFormat="1">
      <alignment horizontal="center" vertical="bottom"/>
    </xf>
    <xf borderId="0" fillId="0" fontId="10" numFmtId="9" xfId="0" applyAlignment="1" applyFont="1" applyNumberFormat="1">
      <alignment horizontal="center" vertical="bottom"/>
    </xf>
    <xf borderId="6" fillId="0" fontId="9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0" numFmtId="9" xfId="0" applyAlignment="1" applyBorder="1" applyFont="1" applyNumberFormat="1">
      <alignment horizontal="right" vertical="bottom"/>
    </xf>
    <xf borderId="6" fillId="0" fontId="5" numFmtId="167" xfId="0" applyAlignment="1" applyBorder="1" applyFont="1" applyNumberFormat="1">
      <alignment horizontal="center" vertical="bottom"/>
    </xf>
    <xf borderId="11" fillId="0" fontId="1" numFmtId="0" xfId="0" applyAlignment="1" applyBorder="1" applyFont="1">
      <alignment vertical="bottom"/>
    </xf>
    <xf borderId="11" fillId="0" fontId="11" numFmtId="0" xfId="0" applyAlignment="1" applyBorder="1" applyFont="1">
      <alignment horizontal="center" vertical="bottom"/>
    </xf>
    <xf borderId="11" fillId="0" fontId="3" numFmtId="167" xfId="0" applyAlignment="1" applyBorder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0" fillId="0" fontId="3" numFmtId="167" xfId="0" applyAlignment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6" fillId="0" fontId="10" numFmtId="164" xfId="0" applyAlignment="1" applyBorder="1" applyFont="1" applyNumberFormat="1">
      <alignment horizontal="right" vertical="bottom"/>
    </xf>
    <xf borderId="6" fillId="0" fontId="13" numFmtId="164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6" fillId="0" fontId="15" numFmtId="49" xfId="0" applyAlignment="1" applyBorder="1" applyFont="1" applyNumberFormat="1">
      <alignment vertical="bottom"/>
    </xf>
    <xf borderId="12" fillId="0" fontId="1" numFmtId="0" xfId="0" applyAlignment="1" applyBorder="1" applyFont="1">
      <alignment vertical="bottom"/>
    </xf>
    <xf borderId="0" fillId="2" fontId="11" numFmtId="0" xfId="0" applyAlignment="1" applyFill="1" applyFont="1">
      <alignment vertical="bottom"/>
    </xf>
    <xf borderId="13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7.63"/>
    <col customWidth="1" min="3" max="3" width="1.63"/>
    <col customWidth="1" min="4" max="4" width="16.25"/>
    <col customWidth="1" min="5" max="5" width="1.88"/>
    <col customWidth="1" min="6" max="6" width="8.88"/>
    <col customWidth="1" min="7" max="7" width="5.25"/>
    <col customWidth="1" min="8" max="8" width="6.25"/>
    <col customWidth="1" min="9" max="9" width="6.63"/>
    <col customWidth="1" min="10" max="10" width="7.13"/>
    <col customWidth="1" min="11" max="11" width="3.0"/>
    <col customWidth="1" min="12" max="12" width="12.88"/>
    <col customWidth="1" min="13" max="13" width="2.88"/>
    <col customWidth="1" min="15" max="15" width="2.13"/>
  </cols>
  <sheetData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O2" s="4"/>
      <c r="P2" s="5"/>
      <c r="Q2" s="5"/>
      <c r="R2" s="6"/>
      <c r="S2" s="5"/>
      <c r="T2" s="5"/>
      <c r="U2" s="7" t="s">
        <v>0</v>
      </c>
      <c r="V2" s="5"/>
      <c r="W2" s="5"/>
      <c r="X2" s="5"/>
      <c r="Y2" s="5"/>
      <c r="Z2" s="5"/>
      <c r="AA2" s="8"/>
    </row>
    <row r="3">
      <c r="A3" s="4"/>
      <c r="B3" s="5"/>
      <c r="C3" s="5"/>
      <c r="D3" s="6"/>
      <c r="E3" s="5"/>
      <c r="F3" s="5"/>
      <c r="G3" s="7" t="s">
        <v>1</v>
      </c>
      <c r="H3" s="5"/>
      <c r="I3" s="5"/>
      <c r="J3" s="5"/>
      <c r="K3" s="5"/>
      <c r="L3" s="5"/>
      <c r="M3" s="8"/>
      <c r="O3" s="4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8"/>
    </row>
    <row r="4">
      <c r="A4" s="4"/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8"/>
      <c r="O4" s="4"/>
      <c r="P4" s="9" t="s">
        <v>2</v>
      </c>
      <c r="Q4" s="9" t="s">
        <v>3</v>
      </c>
      <c r="R4" s="10" t="s">
        <v>4</v>
      </c>
      <c r="S4" s="5"/>
      <c r="T4" s="5"/>
      <c r="U4" s="5"/>
      <c r="V4" s="5"/>
      <c r="W4" s="5"/>
      <c r="X4" s="5"/>
      <c r="Y4" s="5"/>
      <c r="Z4" s="5"/>
      <c r="AA4" s="8"/>
    </row>
    <row r="5">
      <c r="A5" s="4"/>
      <c r="B5" s="9" t="s">
        <v>2</v>
      </c>
      <c r="C5" s="9" t="s">
        <v>3</v>
      </c>
      <c r="D5" s="10" t="s">
        <v>4</v>
      </c>
      <c r="E5" s="5"/>
      <c r="F5" s="5"/>
      <c r="G5" s="5"/>
      <c r="H5" s="5"/>
      <c r="I5" s="5"/>
      <c r="J5" s="5"/>
      <c r="K5" s="5"/>
      <c r="L5" s="5"/>
      <c r="M5" s="8"/>
      <c r="O5" s="4"/>
      <c r="P5" s="11" t="s">
        <v>5</v>
      </c>
      <c r="Q5" s="11" t="s">
        <v>3</v>
      </c>
      <c r="R5" s="12"/>
      <c r="S5" s="13"/>
      <c r="T5" s="5"/>
      <c r="U5" s="14"/>
      <c r="V5" s="14"/>
      <c r="W5" s="5"/>
      <c r="X5" s="5"/>
      <c r="Y5" s="5"/>
      <c r="Z5" s="5"/>
      <c r="AA5" s="8"/>
    </row>
    <row r="6">
      <c r="A6" s="4"/>
      <c r="B6" s="11" t="s">
        <v>5</v>
      </c>
      <c r="C6" s="11" t="s">
        <v>3</v>
      </c>
      <c r="D6" s="12"/>
      <c r="E6" s="13"/>
      <c r="F6" s="5"/>
      <c r="G6" s="14"/>
      <c r="H6" s="14"/>
      <c r="I6" s="5"/>
      <c r="J6" s="5"/>
      <c r="K6" s="5"/>
      <c r="L6" s="5"/>
      <c r="M6" s="8"/>
      <c r="O6" s="4"/>
      <c r="P6" s="9" t="s">
        <v>6</v>
      </c>
      <c r="Q6" s="15" t="s">
        <v>3</v>
      </c>
      <c r="R6" s="16" t="s">
        <v>7</v>
      </c>
      <c r="S6" s="17" t="s">
        <v>3</v>
      </c>
      <c r="T6" s="18">
        <v>10.0</v>
      </c>
      <c r="U6" s="19">
        <v>73.0</v>
      </c>
      <c r="V6" s="5"/>
      <c r="W6" s="5"/>
      <c r="X6" s="5"/>
      <c r="Y6" s="5"/>
      <c r="Z6" s="5"/>
      <c r="AA6" s="8"/>
    </row>
    <row r="7">
      <c r="A7" s="4"/>
      <c r="B7" s="9" t="s">
        <v>6</v>
      </c>
      <c r="C7" s="15" t="s">
        <v>3</v>
      </c>
      <c r="D7" s="16" t="s">
        <v>7</v>
      </c>
      <c r="E7" s="17" t="s">
        <v>3</v>
      </c>
      <c r="F7" s="18">
        <v>21.0</v>
      </c>
      <c r="G7" s="19">
        <v>1.0</v>
      </c>
      <c r="H7" s="5"/>
      <c r="I7" s="5"/>
      <c r="J7" s="5"/>
      <c r="K7" s="5"/>
      <c r="L7" s="5"/>
      <c r="M7" s="8"/>
      <c r="O7" s="4"/>
      <c r="P7" s="20" t="s">
        <v>8</v>
      </c>
      <c r="Q7" s="20" t="s">
        <v>3</v>
      </c>
      <c r="R7" s="21">
        <v>45598.0</v>
      </c>
      <c r="S7" s="22" t="s">
        <v>9</v>
      </c>
      <c r="T7" s="23">
        <v>45554.0</v>
      </c>
      <c r="U7" s="24"/>
      <c r="V7" s="24"/>
      <c r="W7" s="13"/>
      <c r="X7" s="13"/>
      <c r="Y7" s="13"/>
      <c r="Z7" s="13"/>
      <c r="AA7" s="8"/>
    </row>
    <row r="8">
      <c r="A8" s="4"/>
      <c r="B8" s="20" t="s">
        <v>8</v>
      </c>
      <c r="C8" s="20" t="s">
        <v>3</v>
      </c>
      <c r="D8" s="21">
        <v>46222.0</v>
      </c>
      <c r="E8" s="22" t="s">
        <v>9</v>
      </c>
      <c r="F8" s="23">
        <v>46253.0</v>
      </c>
      <c r="G8" s="24"/>
      <c r="H8" s="24"/>
      <c r="I8" s="13"/>
      <c r="J8" s="13"/>
      <c r="K8" s="13"/>
      <c r="L8" s="13"/>
      <c r="M8" s="8"/>
      <c r="O8" s="25"/>
      <c r="P8" s="26" t="s">
        <v>10</v>
      </c>
      <c r="Q8" s="26" t="s">
        <v>3</v>
      </c>
      <c r="R8" s="27" t="s">
        <v>7</v>
      </c>
      <c r="S8" s="26" t="s">
        <v>11</v>
      </c>
      <c r="T8" s="22">
        <v>10.0</v>
      </c>
      <c r="U8" s="26" t="s">
        <v>11</v>
      </c>
      <c r="V8" s="22">
        <v>73.0</v>
      </c>
      <c r="W8" s="26" t="s">
        <v>11</v>
      </c>
      <c r="X8" s="28">
        <v>6.0</v>
      </c>
      <c r="Y8" s="29" t="s">
        <v>11</v>
      </c>
      <c r="Z8" s="30">
        <v>2026.0</v>
      </c>
      <c r="AA8" s="8"/>
    </row>
    <row r="9">
      <c r="A9" s="25"/>
      <c r="B9" s="26" t="s">
        <v>10</v>
      </c>
      <c r="C9" s="26" t="s">
        <v>3</v>
      </c>
      <c r="D9" s="27" t="s">
        <v>7</v>
      </c>
      <c r="E9" s="26" t="s">
        <v>11</v>
      </c>
      <c r="F9" s="22">
        <v>21.0</v>
      </c>
      <c r="G9" s="26" t="s">
        <v>11</v>
      </c>
      <c r="H9" s="22">
        <v>1.0</v>
      </c>
      <c r="I9" s="26" t="s">
        <v>11</v>
      </c>
      <c r="J9" s="28">
        <v>8.0</v>
      </c>
      <c r="K9" s="29" t="s">
        <v>11</v>
      </c>
      <c r="L9" s="30">
        <v>2026.0</v>
      </c>
      <c r="M9" s="8"/>
      <c r="O9" s="4"/>
      <c r="P9" s="14"/>
      <c r="Q9" s="5"/>
      <c r="R9" s="5"/>
      <c r="S9" s="5"/>
      <c r="T9" s="5"/>
      <c r="U9" s="5"/>
      <c r="V9" s="5"/>
      <c r="W9" s="5"/>
      <c r="X9" s="5"/>
      <c r="Y9" s="5"/>
      <c r="Z9" s="5"/>
      <c r="AA9" s="8"/>
    </row>
    <row r="10">
      <c r="A10" s="4"/>
      <c r="B10" s="14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O10" s="4"/>
      <c r="P10" s="31" t="s">
        <v>12</v>
      </c>
      <c r="Q10" s="13"/>
      <c r="R10" s="20" t="s">
        <v>13</v>
      </c>
      <c r="S10" s="13"/>
      <c r="T10" s="13"/>
      <c r="U10" s="13"/>
      <c r="V10" s="13"/>
      <c r="W10" s="32"/>
      <c r="X10" s="13"/>
      <c r="Y10" s="13"/>
      <c r="Z10" s="33" t="s">
        <v>14</v>
      </c>
      <c r="AA10" s="34"/>
    </row>
    <row r="11">
      <c r="A11" s="4"/>
      <c r="B11" s="31" t="s">
        <v>12</v>
      </c>
      <c r="C11" s="13"/>
      <c r="D11" s="20" t="s">
        <v>13</v>
      </c>
      <c r="E11" s="13"/>
      <c r="F11" s="13"/>
      <c r="G11" s="13"/>
      <c r="H11" s="13"/>
      <c r="I11" s="32"/>
      <c r="J11" s="13"/>
      <c r="K11" s="13"/>
      <c r="L11" s="33" t="s">
        <v>14</v>
      </c>
      <c r="M11" s="34"/>
      <c r="O11" s="4"/>
      <c r="P11" s="35">
        <f>T7</f>
        <v>45554</v>
      </c>
      <c r="Q11" s="5"/>
      <c r="R11" s="9" t="s">
        <v>15</v>
      </c>
      <c r="S11" s="5"/>
      <c r="T11" s="36"/>
      <c r="U11" s="5"/>
      <c r="V11" s="5"/>
      <c r="W11" s="5"/>
      <c r="X11" s="5"/>
      <c r="Y11" s="5"/>
      <c r="Z11" s="37"/>
      <c r="AA11" s="8"/>
    </row>
    <row r="12">
      <c r="A12" s="4"/>
      <c r="B12" s="35">
        <f>F8</f>
        <v>46253</v>
      </c>
      <c r="C12" s="5"/>
      <c r="D12" s="9" t="s">
        <v>15</v>
      </c>
      <c r="E12" s="5"/>
      <c r="F12" s="36"/>
      <c r="G12" s="5"/>
      <c r="H12" s="5"/>
      <c r="I12" s="5"/>
      <c r="J12" s="5"/>
      <c r="K12" s="5"/>
      <c r="L12" s="37"/>
      <c r="M12" s="8"/>
      <c r="O12" s="4"/>
      <c r="P12" s="14"/>
      <c r="Q12" s="5"/>
      <c r="R12" s="38" t="s">
        <v>16</v>
      </c>
      <c r="S12" s="11" t="s">
        <v>3</v>
      </c>
      <c r="T12" s="39">
        <v>18.0</v>
      </c>
      <c r="U12" s="40" t="s">
        <v>17</v>
      </c>
      <c r="V12" s="41" t="s">
        <v>18</v>
      </c>
      <c r="W12" s="42">
        <v>16204.0</v>
      </c>
      <c r="X12" s="40" t="s">
        <v>19</v>
      </c>
      <c r="Y12" s="41" t="s">
        <v>3</v>
      </c>
      <c r="Z12" s="43">
        <f>T12*W12</f>
        <v>291672</v>
      </c>
      <c r="AA12" s="8"/>
    </row>
    <row r="13">
      <c r="A13" s="4"/>
      <c r="B13" s="14"/>
      <c r="C13" s="5"/>
      <c r="D13" s="38" t="s">
        <v>16</v>
      </c>
      <c r="E13" s="11" t="s">
        <v>3</v>
      </c>
      <c r="F13" s="39">
        <v>21.0</v>
      </c>
      <c r="G13" s="40" t="s">
        <v>20</v>
      </c>
      <c r="H13" s="41" t="s">
        <v>18</v>
      </c>
      <c r="I13" s="42">
        <v>12165.0</v>
      </c>
      <c r="J13" s="40" t="s">
        <v>21</v>
      </c>
      <c r="K13" s="41" t="s">
        <v>3</v>
      </c>
      <c r="L13" s="43">
        <f>F13*I13</f>
        <v>255465</v>
      </c>
      <c r="M13" s="8"/>
      <c r="O13" s="4"/>
      <c r="P13" s="14"/>
      <c r="Q13" s="5"/>
      <c r="R13" s="38" t="s">
        <v>22</v>
      </c>
      <c r="S13" s="11" t="s">
        <v>3</v>
      </c>
      <c r="T13" s="44">
        <v>0.08</v>
      </c>
      <c r="U13" s="45" t="s">
        <v>23</v>
      </c>
      <c r="V13" s="5"/>
      <c r="W13" s="14"/>
      <c r="X13" s="5"/>
      <c r="Y13" s="41" t="s">
        <v>3</v>
      </c>
      <c r="Z13" s="43">
        <f>Z12*T13</f>
        <v>23333.76</v>
      </c>
      <c r="AA13" s="8"/>
    </row>
    <row r="14">
      <c r="A14" s="4"/>
      <c r="B14" s="14"/>
      <c r="C14" s="5"/>
      <c r="D14" s="38" t="s">
        <v>22</v>
      </c>
      <c r="E14" s="11" t="s">
        <v>3</v>
      </c>
      <c r="F14" s="44">
        <v>0.08</v>
      </c>
      <c r="G14" s="45" t="s">
        <v>23</v>
      </c>
      <c r="H14" s="5"/>
      <c r="I14" s="14"/>
      <c r="J14" s="5"/>
      <c r="K14" s="41" t="s">
        <v>3</v>
      </c>
      <c r="L14" s="43">
        <f>L13*F14</f>
        <v>20437.2</v>
      </c>
      <c r="M14" s="8"/>
      <c r="O14" s="4"/>
      <c r="P14" s="14"/>
      <c r="Q14" s="5"/>
      <c r="R14" s="5"/>
      <c r="S14" s="5"/>
      <c r="T14" s="46"/>
      <c r="U14" s="5"/>
      <c r="V14" s="5"/>
      <c r="W14" s="46"/>
      <c r="X14" s="5"/>
      <c r="Y14" s="41" t="s">
        <v>3</v>
      </c>
      <c r="Z14" s="37"/>
      <c r="AA14" s="8"/>
    </row>
    <row r="15">
      <c r="A15" s="4"/>
      <c r="B15" s="14"/>
      <c r="C15" s="5"/>
      <c r="D15" s="5"/>
      <c r="E15" s="5"/>
      <c r="F15" s="46"/>
      <c r="G15" s="5"/>
      <c r="H15" s="5"/>
      <c r="I15" s="46"/>
      <c r="J15" s="5"/>
      <c r="K15" s="41" t="s">
        <v>3</v>
      </c>
      <c r="L15" s="37"/>
      <c r="M15" s="8"/>
      <c r="O15" s="4"/>
      <c r="P15" s="14"/>
      <c r="Q15" s="5"/>
      <c r="R15" s="5"/>
      <c r="S15" s="5"/>
      <c r="T15" s="46"/>
      <c r="U15" s="14"/>
      <c r="V15" s="5"/>
      <c r="W15" s="14"/>
      <c r="X15" s="5"/>
      <c r="Y15" s="5"/>
      <c r="Z15" s="5"/>
      <c r="AA15" s="8"/>
    </row>
    <row r="16">
      <c r="A16" s="4"/>
      <c r="B16" s="14"/>
      <c r="C16" s="5"/>
      <c r="D16" s="5"/>
      <c r="E16" s="5"/>
      <c r="F16" s="46"/>
      <c r="G16" s="14"/>
      <c r="H16" s="5"/>
      <c r="I16" s="14"/>
      <c r="J16" s="5"/>
      <c r="K16" s="5"/>
      <c r="L16" s="5"/>
      <c r="M16" s="8"/>
      <c r="O16" s="4"/>
      <c r="P16" s="14"/>
      <c r="Q16" s="5"/>
      <c r="R16" s="47" t="s">
        <v>24</v>
      </c>
      <c r="S16" s="5"/>
      <c r="T16" s="46"/>
      <c r="U16" s="14"/>
      <c r="V16" s="5"/>
      <c r="W16" s="14"/>
      <c r="X16" s="5"/>
      <c r="Y16" s="5"/>
      <c r="Z16" s="5"/>
      <c r="AA16" s="8"/>
    </row>
    <row r="17">
      <c r="A17" s="4"/>
      <c r="B17" s="14"/>
      <c r="C17" s="5"/>
      <c r="D17" s="47" t="s">
        <v>24</v>
      </c>
      <c r="E17" s="5"/>
      <c r="F17" s="46"/>
      <c r="G17" s="14"/>
      <c r="H17" s="5"/>
      <c r="I17" s="14"/>
      <c r="J17" s="5"/>
      <c r="K17" s="5"/>
      <c r="L17" s="5"/>
      <c r="M17" s="8"/>
      <c r="O17" s="4"/>
      <c r="P17" s="5"/>
      <c r="Q17" s="5"/>
      <c r="R17" s="38" t="s">
        <v>25</v>
      </c>
      <c r="S17" s="11" t="s">
        <v>3</v>
      </c>
      <c r="T17" s="48">
        <v>365.4</v>
      </c>
      <c r="U17" s="11" t="s">
        <v>26</v>
      </c>
      <c r="V17" s="41" t="s">
        <v>27</v>
      </c>
      <c r="W17" s="48">
        <v>1023.1</v>
      </c>
      <c r="X17" s="11" t="s">
        <v>26</v>
      </c>
      <c r="Y17" s="5"/>
      <c r="Z17" s="5"/>
      <c r="AA17" s="8"/>
    </row>
    <row r="18">
      <c r="A18" s="4"/>
      <c r="B18" s="5"/>
      <c r="C18" s="5"/>
      <c r="D18" s="38" t="s">
        <v>25</v>
      </c>
      <c r="E18" s="11" t="s">
        <v>3</v>
      </c>
      <c r="F18" s="48">
        <v>19850.1</v>
      </c>
      <c r="G18" s="11" t="s">
        <v>26</v>
      </c>
      <c r="H18" s="41" t="s">
        <v>27</v>
      </c>
      <c r="I18" s="48">
        <v>20300.5</v>
      </c>
      <c r="J18" s="11" t="s">
        <v>26</v>
      </c>
      <c r="K18" s="5"/>
      <c r="L18" s="5"/>
      <c r="M18" s="8"/>
      <c r="O18" s="4"/>
      <c r="P18" s="5"/>
      <c r="Q18" s="5"/>
      <c r="R18" s="38" t="s">
        <v>28</v>
      </c>
      <c r="S18" s="11" t="s">
        <v>3</v>
      </c>
      <c r="T18" s="48">
        <f>W17-T17</f>
        <v>657.7</v>
      </c>
      <c r="U18" s="11" t="s">
        <v>26</v>
      </c>
      <c r="V18" s="5"/>
      <c r="W18" s="46"/>
      <c r="X18" s="5"/>
      <c r="Y18" s="5"/>
      <c r="Z18" s="5"/>
      <c r="AA18" s="8"/>
    </row>
    <row r="19">
      <c r="A19" s="4"/>
      <c r="B19" s="5"/>
      <c r="C19" s="5"/>
      <c r="D19" s="38" t="s">
        <v>28</v>
      </c>
      <c r="E19" s="11" t="s">
        <v>3</v>
      </c>
      <c r="F19" s="48">
        <f>I18-F18</f>
        <v>450.4</v>
      </c>
      <c r="G19" s="11" t="s">
        <v>26</v>
      </c>
      <c r="H19" s="5"/>
      <c r="I19" s="46"/>
      <c r="J19" s="5"/>
      <c r="K19" s="5"/>
      <c r="L19" s="5"/>
      <c r="M19" s="8"/>
      <c r="O19" s="4"/>
      <c r="P19" s="5"/>
      <c r="Q19" s="5"/>
      <c r="R19" s="38" t="s">
        <v>29</v>
      </c>
      <c r="S19" s="11" t="s">
        <v>3</v>
      </c>
      <c r="T19" s="48">
        <v>40.0</v>
      </c>
      <c r="U19" s="11" t="s">
        <v>30</v>
      </c>
      <c r="V19" s="41" t="s">
        <v>18</v>
      </c>
      <c r="W19" s="48">
        <v>1.3</v>
      </c>
      <c r="X19" s="11" t="s">
        <v>31</v>
      </c>
      <c r="Y19" s="5"/>
      <c r="Z19" s="5"/>
      <c r="AA19" s="8"/>
    </row>
    <row r="20">
      <c r="A20" s="4"/>
      <c r="B20" s="5"/>
      <c r="C20" s="5"/>
      <c r="D20" s="38" t="s">
        <v>29</v>
      </c>
      <c r="E20" s="11" t="s">
        <v>3</v>
      </c>
      <c r="F20" s="48">
        <v>40.0</v>
      </c>
      <c r="G20" s="11" t="s">
        <v>30</v>
      </c>
      <c r="H20" s="41" t="s">
        <v>18</v>
      </c>
      <c r="I20" s="48">
        <v>1.3</v>
      </c>
      <c r="J20" s="11" t="s">
        <v>31</v>
      </c>
      <c r="K20" s="5"/>
      <c r="L20" s="5"/>
      <c r="M20" s="8"/>
      <c r="O20" s="4"/>
      <c r="P20" s="5"/>
      <c r="Q20" s="5"/>
      <c r="R20" s="5"/>
      <c r="S20" s="11" t="s">
        <v>3</v>
      </c>
      <c r="T20" s="48">
        <f>T19*W19</f>
        <v>52</v>
      </c>
      <c r="U20" s="11" t="s">
        <v>26</v>
      </c>
      <c r="V20" s="5"/>
      <c r="W20" s="46"/>
      <c r="X20" s="5"/>
      <c r="Y20" s="5"/>
      <c r="Z20" s="37"/>
      <c r="AA20" s="8"/>
    </row>
    <row r="21">
      <c r="A21" s="4"/>
      <c r="B21" s="5"/>
      <c r="C21" s="5"/>
      <c r="D21" s="5"/>
      <c r="E21" s="11" t="s">
        <v>3</v>
      </c>
      <c r="F21" s="48">
        <f>F20*I20</f>
        <v>52</v>
      </c>
      <c r="G21" s="11" t="s">
        <v>26</v>
      </c>
      <c r="H21" s="5"/>
      <c r="I21" s="46"/>
      <c r="J21" s="5"/>
      <c r="K21" s="5"/>
      <c r="L21" s="37"/>
      <c r="M21" s="8"/>
      <c r="O21" s="4"/>
      <c r="P21" s="5"/>
      <c r="Q21" s="5"/>
      <c r="R21" s="5"/>
      <c r="S21" s="5"/>
      <c r="T21" s="46"/>
      <c r="U21" s="5"/>
      <c r="V21" s="5"/>
      <c r="W21" s="46"/>
      <c r="X21" s="5"/>
      <c r="Y21" s="5"/>
      <c r="Z21" s="37"/>
      <c r="AA21" s="8"/>
    </row>
    <row r="22">
      <c r="A22" s="4"/>
      <c r="B22" s="5"/>
      <c r="C22" s="5"/>
      <c r="D22" s="5"/>
      <c r="E22" s="5"/>
      <c r="F22" s="46"/>
      <c r="G22" s="5"/>
      <c r="H22" s="5"/>
      <c r="I22" s="46"/>
      <c r="J22" s="5"/>
      <c r="K22" s="5"/>
      <c r="L22" s="37"/>
      <c r="M22" s="8"/>
      <c r="O22" s="4"/>
      <c r="P22" s="5"/>
      <c r="Q22" s="5"/>
      <c r="R22" s="38" t="s">
        <v>32</v>
      </c>
      <c r="S22" s="11" t="s">
        <v>3</v>
      </c>
      <c r="T22" s="48">
        <f>T18</f>
        <v>657.7</v>
      </c>
      <c r="U22" s="11" t="s">
        <v>26</v>
      </c>
      <c r="V22" s="41" t="s">
        <v>18</v>
      </c>
      <c r="W22" s="42">
        <v>1700.0</v>
      </c>
      <c r="X22" s="11" t="s">
        <v>33</v>
      </c>
      <c r="Y22" s="41" t="s">
        <v>3</v>
      </c>
      <c r="Z22" s="49">
        <f>W22*T22</f>
        <v>1118090</v>
      </c>
      <c r="AA22" s="8"/>
    </row>
    <row r="23">
      <c r="A23" s="4"/>
      <c r="B23" s="5"/>
      <c r="C23" s="5"/>
      <c r="D23" s="38" t="s">
        <v>32</v>
      </c>
      <c r="E23" s="11" t="s">
        <v>3</v>
      </c>
      <c r="F23" s="48">
        <f>F19</f>
        <v>450.4</v>
      </c>
      <c r="G23" s="11" t="s">
        <v>26</v>
      </c>
      <c r="H23" s="41" t="s">
        <v>18</v>
      </c>
      <c r="I23" s="42">
        <v>1450.0</v>
      </c>
      <c r="J23" s="11" t="s">
        <v>33</v>
      </c>
      <c r="K23" s="41" t="s">
        <v>3</v>
      </c>
      <c r="L23" s="49">
        <f>I23*F23</f>
        <v>653080</v>
      </c>
      <c r="M23" s="8"/>
      <c r="O23" s="4"/>
      <c r="P23" s="5"/>
      <c r="Q23" s="5"/>
      <c r="R23" s="38" t="s">
        <v>34</v>
      </c>
      <c r="S23" s="11" t="s">
        <v>3</v>
      </c>
      <c r="T23" s="36"/>
      <c r="U23" s="5"/>
      <c r="V23" s="50" t="s">
        <v>35</v>
      </c>
      <c r="W23" s="5"/>
      <c r="X23" s="5"/>
      <c r="Y23" s="41" t="s">
        <v>3</v>
      </c>
      <c r="Z23" s="49">
        <v>5000.0</v>
      </c>
      <c r="AA23" s="8"/>
    </row>
    <row r="24">
      <c r="A24" s="4"/>
      <c r="B24" s="5"/>
      <c r="C24" s="5"/>
      <c r="D24" s="38" t="s">
        <v>36</v>
      </c>
      <c r="E24" s="5"/>
      <c r="F24" s="44">
        <v>0.1</v>
      </c>
      <c r="G24" s="5"/>
      <c r="H24" s="5"/>
      <c r="I24" s="5"/>
      <c r="J24" s="5"/>
      <c r="K24" s="41" t="s">
        <v>3</v>
      </c>
      <c r="L24" s="49">
        <f>L23*F24</f>
        <v>65308</v>
      </c>
      <c r="M24" s="8"/>
      <c r="O24" s="4"/>
      <c r="P24" s="5"/>
      <c r="Q24" s="5"/>
      <c r="R24" s="38" t="s">
        <v>36</v>
      </c>
      <c r="S24" s="5"/>
      <c r="T24" s="44">
        <v>0.1</v>
      </c>
      <c r="U24" s="5"/>
      <c r="V24" s="5"/>
      <c r="W24" s="5"/>
      <c r="X24" s="5"/>
      <c r="Y24" s="41" t="s">
        <v>3</v>
      </c>
      <c r="Z24" s="49">
        <f>Z22*T24</f>
        <v>111809</v>
      </c>
      <c r="AA24" s="8"/>
    </row>
    <row r="25">
      <c r="A25" s="4"/>
      <c r="B25" s="5"/>
      <c r="C25" s="5"/>
      <c r="D25" s="51" t="s">
        <v>37</v>
      </c>
      <c r="E25" s="52" t="s">
        <v>3</v>
      </c>
      <c r="F25" s="53">
        <v>0.03</v>
      </c>
      <c r="G25" s="13"/>
      <c r="H25" s="13"/>
      <c r="I25" s="13"/>
      <c r="J25" s="13"/>
      <c r="K25" s="26" t="s">
        <v>3</v>
      </c>
      <c r="L25" s="54">
        <f>L23*F25</f>
        <v>19592.4</v>
      </c>
      <c r="M25" s="8"/>
      <c r="O25" s="4"/>
      <c r="P25" s="5"/>
      <c r="Q25" s="5"/>
      <c r="R25" s="51" t="s">
        <v>37</v>
      </c>
      <c r="S25" s="52" t="s">
        <v>3</v>
      </c>
      <c r="T25" s="53">
        <v>0.03</v>
      </c>
      <c r="U25" s="13"/>
      <c r="V25" s="13"/>
      <c r="W25" s="13"/>
      <c r="X25" s="13"/>
      <c r="Y25" s="26" t="s">
        <v>3</v>
      </c>
      <c r="Z25" s="54">
        <f>Z22*T25</f>
        <v>33542.7</v>
      </c>
      <c r="AA25" s="8"/>
    </row>
    <row r="26">
      <c r="A26" s="4"/>
      <c r="B26" s="5"/>
      <c r="C26" s="5"/>
      <c r="D26" s="55"/>
      <c r="E26" s="55"/>
      <c r="F26" s="55"/>
      <c r="G26" s="55"/>
      <c r="H26" s="55"/>
      <c r="I26" s="55"/>
      <c r="J26" s="55"/>
      <c r="K26" s="56" t="s">
        <v>38</v>
      </c>
      <c r="L26" s="57">
        <f>SUM(L23:L25)</f>
        <v>737980.4</v>
      </c>
      <c r="M26" s="8"/>
      <c r="O26" s="4"/>
      <c r="P26" s="5"/>
      <c r="Q26" s="5"/>
      <c r="R26" s="55"/>
      <c r="S26" s="55"/>
      <c r="T26" s="55"/>
      <c r="U26" s="55"/>
      <c r="V26" s="55"/>
      <c r="W26" s="55"/>
      <c r="X26" s="55"/>
      <c r="Y26" s="56" t="s">
        <v>38</v>
      </c>
      <c r="Z26" s="57">
        <f>SUM(Z22:Z25)</f>
        <v>1268441.7</v>
      </c>
      <c r="AA26" s="8"/>
    </row>
    <row r="27">
      <c r="A27" s="4"/>
      <c r="B27" s="5"/>
      <c r="C27" s="5"/>
      <c r="D27" s="5"/>
      <c r="E27" s="5"/>
      <c r="F27" s="46"/>
      <c r="G27" s="5"/>
      <c r="H27" s="5"/>
      <c r="I27" s="46"/>
      <c r="J27" s="5"/>
      <c r="K27" s="5"/>
      <c r="L27" s="37"/>
      <c r="M27" s="8"/>
      <c r="O27" s="4"/>
      <c r="P27" s="5"/>
      <c r="Q27" s="5"/>
      <c r="R27" s="5"/>
      <c r="S27" s="5"/>
      <c r="T27" s="46"/>
      <c r="U27" s="5"/>
      <c r="V27" s="5"/>
      <c r="W27" s="46"/>
      <c r="X27" s="5"/>
      <c r="Y27" s="5"/>
      <c r="Z27" s="37"/>
      <c r="AA27" s="8"/>
    </row>
    <row r="28">
      <c r="A28" s="4"/>
      <c r="B28" s="5"/>
      <c r="C28" s="5"/>
      <c r="D28" s="9" t="s">
        <v>39</v>
      </c>
      <c r="E28" s="5"/>
      <c r="F28" s="46"/>
      <c r="G28" s="5"/>
      <c r="H28" s="5"/>
      <c r="I28" s="37"/>
      <c r="J28" s="5"/>
      <c r="K28" s="5"/>
      <c r="L28" s="37"/>
      <c r="M28" s="8"/>
      <c r="O28" s="4"/>
      <c r="P28" s="5"/>
      <c r="Q28" s="5"/>
      <c r="R28" s="9" t="s">
        <v>39</v>
      </c>
      <c r="S28" s="5"/>
      <c r="T28" s="46"/>
      <c r="U28" s="5"/>
      <c r="V28" s="5"/>
      <c r="W28" s="37"/>
      <c r="X28" s="5"/>
      <c r="Y28" s="5"/>
      <c r="Z28" s="37"/>
      <c r="AA28" s="8"/>
    </row>
    <row r="29">
      <c r="A29" s="4"/>
      <c r="B29" s="5"/>
      <c r="C29" s="5"/>
      <c r="D29" s="38" t="s">
        <v>25</v>
      </c>
      <c r="E29" s="11" t="s">
        <v>3</v>
      </c>
      <c r="F29" s="48">
        <v>403.0</v>
      </c>
      <c r="G29" s="40" t="s">
        <v>40</v>
      </c>
      <c r="H29" s="50" t="s">
        <v>27</v>
      </c>
      <c r="I29" s="48">
        <v>414.0</v>
      </c>
      <c r="J29" s="40" t="s">
        <v>41</v>
      </c>
      <c r="K29" s="5"/>
      <c r="L29" s="37"/>
      <c r="M29" s="8"/>
      <c r="O29" s="4"/>
      <c r="P29" s="5"/>
      <c r="Q29" s="5"/>
      <c r="R29" s="38" t="s">
        <v>25</v>
      </c>
      <c r="S29" s="11" t="s">
        <v>3</v>
      </c>
      <c r="T29" s="48">
        <v>92.0</v>
      </c>
      <c r="U29" s="40" t="s">
        <v>42</v>
      </c>
      <c r="V29" s="50" t="s">
        <v>27</v>
      </c>
      <c r="W29" s="48">
        <v>102.0</v>
      </c>
      <c r="X29" s="40" t="s">
        <v>43</v>
      </c>
      <c r="Y29" s="5"/>
      <c r="Z29" s="37"/>
      <c r="AA29" s="8"/>
    </row>
    <row r="30">
      <c r="A30" s="4"/>
      <c r="B30" s="5"/>
      <c r="C30" s="5"/>
      <c r="D30" s="38" t="s">
        <v>28</v>
      </c>
      <c r="E30" s="11" t="s">
        <v>3</v>
      </c>
      <c r="F30" s="48">
        <f>I29-F29</f>
        <v>11</v>
      </c>
      <c r="G30" s="40" t="s">
        <v>44</v>
      </c>
      <c r="H30" s="50" t="s">
        <v>18</v>
      </c>
      <c r="I30" s="42">
        <v>7610.0</v>
      </c>
      <c r="J30" s="40" t="s">
        <v>45</v>
      </c>
      <c r="K30" s="58" t="s">
        <v>3</v>
      </c>
      <c r="L30" s="49">
        <f>I30*F30</f>
        <v>83710</v>
      </c>
      <c r="M30" s="8"/>
      <c r="O30" s="4"/>
      <c r="P30" s="5"/>
      <c r="Q30" s="5"/>
      <c r="R30" s="38" t="s">
        <v>28</v>
      </c>
      <c r="S30" s="11" t="s">
        <v>3</v>
      </c>
      <c r="T30" s="48">
        <f>W29-T29</f>
        <v>10</v>
      </c>
      <c r="U30" s="40" t="s">
        <v>46</v>
      </c>
      <c r="V30" s="50" t="s">
        <v>18</v>
      </c>
      <c r="W30" s="42">
        <v>7610.0</v>
      </c>
      <c r="X30" s="40" t="s">
        <v>47</v>
      </c>
      <c r="Y30" s="58" t="s">
        <v>3</v>
      </c>
      <c r="Z30" s="49">
        <f>W30*T30</f>
        <v>76100</v>
      </c>
      <c r="AA30" s="8"/>
    </row>
    <row r="31">
      <c r="A31" s="4"/>
      <c r="B31" s="5"/>
      <c r="C31" s="5"/>
      <c r="D31" s="38" t="s">
        <v>48</v>
      </c>
      <c r="E31" s="11" t="s">
        <v>3</v>
      </c>
      <c r="F31" s="36"/>
      <c r="G31" s="5"/>
      <c r="H31" s="50" t="s">
        <v>35</v>
      </c>
      <c r="I31" s="5"/>
      <c r="J31" s="5"/>
      <c r="K31" s="58" t="s">
        <v>3</v>
      </c>
      <c r="L31" s="49">
        <v>7500.0</v>
      </c>
      <c r="M31" s="8"/>
      <c r="O31" s="4"/>
      <c r="P31" s="5"/>
      <c r="Q31" s="5"/>
      <c r="R31" s="38" t="s">
        <v>48</v>
      </c>
      <c r="S31" s="11" t="s">
        <v>3</v>
      </c>
      <c r="T31" s="36"/>
      <c r="U31" s="5"/>
      <c r="V31" s="50" t="s">
        <v>35</v>
      </c>
      <c r="W31" s="5"/>
      <c r="X31" s="5"/>
      <c r="Y31" s="58" t="s">
        <v>3</v>
      </c>
      <c r="Z31" s="49">
        <v>10000.0</v>
      </c>
      <c r="AA31" s="8"/>
    </row>
    <row r="32">
      <c r="A32" s="4"/>
      <c r="B32" s="5"/>
      <c r="C32" s="5"/>
      <c r="D32" s="38" t="s">
        <v>34</v>
      </c>
      <c r="E32" s="11" t="s">
        <v>3</v>
      </c>
      <c r="F32" s="36"/>
      <c r="G32" s="5"/>
      <c r="H32" s="50" t="s">
        <v>35</v>
      </c>
      <c r="I32" s="5"/>
      <c r="J32" s="5"/>
      <c r="K32" s="58" t="s">
        <v>3</v>
      </c>
      <c r="L32" s="49">
        <v>2500.0</v>
      </c>
      <c r="M32" s="8"/>
      <c r="O32" s="4"/>
      <c r="P32" s="5"/>
      <c r="Q32" s="5"/>
      <c r="R32" s="38" t="s">
        <v>34</v>
      </c>
      <c r="S32" s="11" t="s">
        <v>3</v>
      </c>
      <c r="T32" s="36"/>
      <c r="U32" s="5"/>
      <c r="V32" s="50" t="s">
        <v>35</v>
      </c>
      <c r="W32" s="5"/>
      <c r="X32" s="5"/>
      <c r="Y32" s="58" t="s">
        <v>3</v>
      </c>
      <c r="Z32" s="49">
        <v>5000.0</v>
      </c>
      <c r="AA32" s="8"/>
    </row>
    <row r="33">
      <c r="A33" s="4"/>
      <c r="B33" s="5"/>
      <c r="C33" s="5"/>
      <c r="D33" s="51" t="s">
        <v>37</v>
      </c>
      <c r="E33" s="52" t="s">
        <v>3</v>
      </c>
      <c r="F33" s="53">
        <v>0.03</v>
      </c>
      <c r="G33" s="13"/>
      <c r="H33" s="13"/>
      <c r="I33" s="13"/>
      <c r="J33" s="13"/>
      <c r="K33" s="59" t="s">
        <v>3</v>
      </c>
      <c r="L33" s="54">
        <f>L30*F33</f>
        <v>2511.3</v>
      </c>
      <c r="M33" s="8"/>
      <c r="O33" s="4"/>
      <c r="P33" s="5"/>
      <c r="Q33" s="5"/>
      <c r="R33" s="51" t="s">
        <v>37</v>
      </c>
      <c r="S33" s="52" t="s">
        <v>3</v>
      </c>
      <c r="T33" s="53">
        <v>0.03</v>
      </c>
      <c r="U33" s="13"/>
      <c r="V33" s="13"/>
      <c r="W33" s="13"/>
      <c r="X33" s="13"/>
      <c r="Y33" s="59" t="s">
        <v>3</v>
      </c>
      <c r="Z33" s="54">
        <f>Z30*T33</f>
        <v>2283</v>
      </c>
      <c r="AA33" s="8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8" t="s">
        <v>38</v>
      </c>
      <c r="L34" s="60">
        <f>SUM(L30:L33)</f>
        <v>96221.3</v>
      </c>
      <c r="M34" s="8"/>
      <c r="O34" s="4"/>
      <c r="P34" s="5"/>
      <c r="Q34" s="5"/>
      <c r="R34" s="5"/>
      <c r="S34" s="5"/>
      <c r="T34" s="5"/>
      <c r="U34" s="5"/>
      <c r="V34" s="5"/>
      <c r="W34" s="5"/>
      <c r="X34" s="5"/>
      <c r="Y34" s="58" t="s">
        <v>38</v>
      </c>
      <c r="Z34" s="60">
        <f>SUM(Z30:Z33)</f>
        <v>93383</v>
      </c>
      <c r="AA34" s="8"/>
    </row>
    <row r="35">
      <c r="A35" s="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2"/>
      <c r="M35" s="8"/>
      <c r="O35" s="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2"/>
      <c r="AA35" s="8"/>
    </row>
    <row r="36">
      <c r="A36" s="4"/>
      <c r="B36" s="5"/>
      <c r="C36" s="5"/>
      <c r="D36" s="5"/>
      <c r="E36" s="5"/>
      <c r="F36" s="5"/>
      <c r="G36" s="61" t="s">
        <v>49</v>
      </c>
      <c r="H36" s="5"/>
      <c r="I36" s="5"/>
      <c r="J36" s="5"/>
      <c r="K36" s="5"/>
      <c r="L36" s="6"/>
      <c r="M36" s="8"/>
      <c r="O36" s="4"/>
      <c r="P36" s="5"/>
      <c r="Q36" s="5"/>
      <c r="R36" s="5"/>
      <c r="S36" s="5"/>
      <c r="T36" s="5"/>
      <c r="U36" s="61" t="s">
        <v>49</v>
      </c>
      <c r="V36" s="5"/>
      <c r="W36" s="5"/>
      <c r="X36" s="5"/>
      <c r="Y36" s="5"/>
      <c r="Z36" s="6"/>
      <c r="AA36" s="8"/>
    </row>
    <row r="37">
      <c r="A37" s="4"/>
      <c r="B37" s="5"/>
      <c r="C37" s="5"/>
      <c r="D37" s="11" t="s">
        <v>50</v>
      </c>
      <c r="E37" s="5"/>
      <c r="F37" s="5"/>
      <c r="G37" s="5"/>
      <c r="H37" s="5"/>
      <c r="I37" s="5"/>
      <c r="J37" s="5"/>
      <c r="K37" s="11" t="s">
        <v>3</v>
      </c>
      <c r="L37" s="62">
        <f>L34+L26+L13+L14+L15</f>
        <v>1110103.9</v>
      </c>
      <c r="M37" s="8"/>
      <c r="O37" s="4"/>
      <c r="P37" s="5"/>
      <c r="Q37" s="5"/>
      <c r="R37" s="11" t="s">
        <v>50</v>
      </c>
      <c r="S37" s="5"/>
      <c r="T37" s="5"/>
      <c r="U37" s="5"/>
      <c r="V37" s="5"/>
      <c r="W37" s="5"/>
      <c r="X37" s="5"/>
      <c r="Y37" s="11" t="s">
        <v>3</v>
      </c>
      <c r="Z37" s="62">
        <f>Z34+Z26+Z12+Z13+Z14</f>
        <v>1676830.46</v>
      </c>
      <c r="AA37" s="8"/>
    </row>
    <row r="38">
      <c r="A38" s="4"/>
      <c r="B38" s="5"/>
      <c r="C38" s="5"/>
      <c r="D38" s="52" t="s">
        <v>51</v>
      </c>
      <c r="E38" s="13"/>
      <c r="F38" s="13"/>
      <c r="G38" s="13"/>
      <c r="H38" s="13"/>
      <c r="I38" s="13"/>
      <c r="J38" s="13"/>
      <c r="K38" s="26" t="s">
        <v>3</v>
      </c>
      <c r="L38" s="63">
        <v>0.0</v>
      </c>
      <c r="M38" s="8"/>
      <c r="O38" s="4"/>
      <c r="P38" s="5"/>
      <c r="Q38" s="5"/>
      <c r="R38" s="52" t="s">
        <v>51</v>
      </c>
      <c r="S38" s="13"/>
      <c r="T38" s="13"/>
      <c r="U38" s="13"/>
      <c r="V38" s="13"/>
      <c r="W38" s="13"/>
      <c r="X38" s="13"/>
      <c r="Y38" s="26" t="s">
        <v>3</v>
      </c>
      <c r="Z38" s="63">
        <v>0.0</v>
      </c>
      <c r="AA38" s="8"/>
    </row>
    <row r="39">
      <c r="A39" s="4"/>
      <c r="B39" s="5"/>
      <c r="C39" s="5"/>
      <c r="D39" s="26" t="s">
        <v>52</v>
      </c>
      <c r="E39" s="13"/>
      <c r="F39" s="13"/>
      <c r="G39" s="13"/>
      <c r="H39" s="26" t="s">
        <v>3</v>
      </c>
      <c r="I39" s="13"/>
      <c r="J39" s="13"/>
      <c r="K39" s="20" t="s">
        <v>38</v>
      </c>
      <c r="L39" s="64">
        <f>L37-L38</f>
        <v>1110103.9</v>
      </c>
      <c r="M39" s="8"/>
      <c r="O39" s="4"/>
      <c r="P39" s="5"/>
      <c r="Q39" s="5"/>
      <c r="R39" s="26" t="s">
        <v>52</v>
      </c>
      <c r="S39" s="13"/>
      <c r="T39" s="13"/>
      <c r="U39" s="13"/>
      <c r="V39" s="26" t="s">
        <v>3</v>
      </c>
      <c r="W39" s="13"/>
      <c r="X39" s="13"/>
      <c r="Y39" s="20" t="s">
        <v>38</v>
      </c>
      <c r="Z39" s="64">
        <f>Z37-Z38</f>
        <v>1676830.46</v>
      </c>
      <c r="AA39" s="8"/>
    </row>
    <row r="40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8"/>
      <c r="O40" s="4"/>
      <c r="P40" s="5"/>
      <c r="Q40" s="5"/>
      <c r="R40" s="5"/>
      <c r="S40" s="5"/>
      <c r="T40" s="5"/>
      <c r="U40" s="5"/>
      <c r="V40" s="5"/>
      <c r="W40" s="5"/>
      <c r="X40" s="5"/>
      <c r="Y40" s="5"/>
      <c r="Z40" s="65">
        <f>Z39+Z12+Z13</f>
        <v>1991836.22</v>
      </c>
      <c r="AA40" s="8"/>
    </row>
    <row r="41">
      <c r="A41" s="4"/>
      <c r="B41" s="66" t="s">
        <v>53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8"/>
      <c r="O41" s="4"/>
      <c r="P41" s="66" t="s">
        <v>53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8"/>
    </row>
    <row r="42">
      <c r="A42" s="4"/>
      <c r="B42" s="40" t="s">
        <v>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8"/>
      <c r="O42" s="4"/>
      <c r="P42" s="40" t="s">
        <v>55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8"/>
    </row>
    <row r="43">
      <c r="A43" s="4"/>
      <c r="B43" s="5"/>
      <c r="C43" s="5"/>
      <c r="D43" s="5"/>
      <c r="E43" s="5"/>
      <c r="F43" s="13"/>
      <c r="G43" s="13"/>
      <c r="H43" s="13"/>
      <c r="I43" s="13"/>
      <c r="J43" s="13"/>
      <c r="K43" s="5"/>
      <c r="L43" s="5"/>
      <c r="M43" s="8"/>
      <c r="O43" s="4"/>
      <c r="P43" s="5"/>
      <c r="Q43" s="5"/>
      <c r="R43" s="5"/>
      <c r="S43" s="5"/>
      <c r="T43" s="13"/>
      <c r="U43" s="13"/>
      <c r="V43" s="13"/>
      <c r="W43" s="13"/>
      <c r="X43" s="13"/>
      <c r="Y43" s="5"/>
      <c r="Z43" s="5"/>
      <c r="AA43" s="8"/>
    </row>
    <row r="44">
      <c r="A44" s="4"/>
      <c r="B44" s="5"/>
      <c r="C44" s="5"/>
      <c r="D44" s="67" t="s">
        <v>56</v>
      </c>
      <c r="E44" s="29" t="s">
        <v>57</v>
      </c>
      <c r="F44" s="13"/>
      <c r="G44" s="5"/>
      <c r="H44" s="5"/>
      <c r="I44" s="5"/>
      <c r="J44" s="8"/>
      <c r="K44" s="5"/>
      <c r="L44" s="5"/>
      <c r="M44" s="8"/>
      <c r="O44" s="4"/>
      <c r="P44" s="5"/>
      <c r="Q44" s="5"/>
      <c r="R44" s="67" t="s">
        <v>56</v>
      </c>
      <c r="S44" s="29" t="s">
        <v>57</v>
      </c>
      <c r="T44" s="13"/>
      <c r="U44" s="5"/>
      <c r="V44" s="5"/>
      <c r="W44" s="5"/>
      <c r="X44" s="8"/>
      <c r="Y44" s="5"/>
      <c r="Z44" s="5"/>
      <c r="AA44" s="8"/>
    </row>
    <row r="45">
      <c r="A45" s="4"/>
      <c r="B45" s="5"/>
      <c r="C45" s="8"/>
      <c r="D45" s="11" t="s">
        <v>58</v>
      </c>
      <c r="E45" s="5"/>
      <c r="F45" s="5"/>
      <c r="G45" s="5"/>
      <c r="H45" s="5"/>
      <c r="I45" s="5"/>
      <c r="J45" s="8"/>
      <c r="K45" s="5"/>
      <c r="L45" s="5"/>
      <c r="M45" s="8"/>
      <c r="O45" s="4"/>
      <c r="P45" s="5"/>
      <c r="Q45" s="8"/>
      <c r="R45" s="11" t="s">
        <v>58</v>
      </c>
      <c r="S45" s="5"/>
      <c r="T45" s="5"/>
      <c r="U45" s="5"/>
      <c r="V45" s="5"/>
      <c r="W45" s="5"/>
      <c r="X45" s="8"/>
      <c r="Y45" s="5"/>
      <c r="Z45" s="5"/>
      <c r="AA45" s="8"/>
    </row>
    <row r="46">
      <c r="A46" s="4"/>
      <c r="B46" s="5"/>
      <c r="C46" s="8"/>
      <c r="D46" s="9" t="s">
        <v>59</v>
      </c>
      <c r="E46" s="9" t="s">
        <v>57</v>
      </c>
      <c r="F46" s="9" t="s">
        <v>60</v>
      </c>
      <c r="G46" s="5"/>
      <c r="H46" s="5"/>
      <c r="I46" s="5"/>
      <c r="J46" s="8"/>
      <c r="K46" s="5"/>
      <c r="L46" s="5"/>
      <c r="M46" s="8"/>
      <c r="O46" s="4"/>
      <c r="P46" s="5"/>
      <c r="Q46" s="8"/>
      <c r="R46" s="9" t="s">
        <v>59</v>
      </c>
      <c r="S46" s="9" t="s">
        <v>57</v>
      </c>
      <c r="T46" s="9" t="s">
        <v>60</v>
      </c>
      <c r="U46" s="5"/>
      <c r="V46" s="5"/>
      <c r="W46" s="5"/>
      <c r="X46" s="8"/>
      <c r="Y46" s="5"/>
      <c r="Z46" s="5"/>
      <c r="AA46" s="8"/>
    </row>
    <row r="47">
      <c r="A47" s="4"/>
      <c r="B47" s="5"/>
      <c r="C47" s="8"/>
      <c r="D47" s="9" t="s">
        <v>61</v>
      </c>
      <c r="E47" s="9" t="s">
        <v>3</v>
      </c>
      <c r="F47" s="9" t="s">
        <v>62</v>
      </c>
      <c r="G47" s="5"/>
      <c r="H47" s="5"/>
      <c r="I47" s="5"/>
      <c r="J47" s="8"/>
      <c r="K47" s="5"/>
      <c r="L47" s="5"/>
      <c r="M47" s="8"/>
      <c r="O47" s="4"/>
      <c r="P47" s="5"/>
      <c r="Q47" s="8"/>
      <c r="R47" s="9" t="s">
        <v>61</v>
      </c>
      <c r="S47" s="9" t="s">
        <v>3</v>
      </c>
      <c r="T47" s="9" t="s">
        <v>62</v>
      </c>
      <c r="U47" s="5"/>
      <c r="V47" s="5"/>
      <c r="W47" s="5"/>
      <c r="X47" s="8"/>
      <c r="Y47" s="5"/>
      <c r="Z47" s="5"/>
      <c r="AA47" s="8"/>
    </row>
    <row r="48">
      <c r="A48" s="4"/>
      <c r="B48" s="5"/>
      <c r="C48" s="8"/>
      <c r="D48" s="20" t="s">
        <v>63</v>
      </c>
      <c r="E48" s="20" t="s">
        <v>3</v>
      </c>
      <c r="F48" s="68" t="s">
        <v>64</v>
      </c>
      <c r="G48" s="24"/>
      <c r="H48" s="24"/>
      <c r="I48" s="24"/>
      <c r="J48" s="34"/>
      <c r="K48" s="5"/>
      <c r="L48" s="5"/>
      <c r="M48" s="8"/>
      <c r="O48" s="4"/>
      <c r="P48" s="5"/>
      <c r="Q48" s="8"/>
      <c r="R48" s="20" t="s">
        <v>63</v>
      </c>
      <c r="S48" s="20" t="s">
        <v>3</v>
      </c>
      <c r="T48" s="68" t="s">
        <v>64</v>
      </c>
      <c r="U48" s="24"/>
      <c r="V48" s="24"/>
      <c r="W48" s="24"/>
      <c r="X48" s="34"/>
      <c r="Y48" s="5"/>
      <c r="Z48" s="5"/>
      <c r="AA48" s="8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8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8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8"/>
    </row>
    <row r="51">
      <c r="A51" s="4"/>
      <c r="B51" s="47" t="s">
        <v>65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8"/>
      <c r="O51" s="4"/>
      <c r="P51" s="47" t="s">
        <v>65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8"/>
    </row>
    <row r="52">
      <c r="A52" s="4"/>
      <c r="B52" s="47" t="s">
        <v>66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8"/>
      <c r="O52" s="4"/>
      <c r="P52" s="47" t="s">
        <v>66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8"/>
    </row>
    <row r="53">
      <c r="A53" s="4"/>
      <c r="B53" s="47" t="s">
        <v>67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8"/>
      <c r="O53" s="4"/>
      <c r="P53" s="47" t="s">
        <v>67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8"/>
    </row>
    <row r="54">
      <c r="A54" s="4"/>
      <c r="B54" s="47" t="s">
        <v>68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8"/>
      <c r="O54" s="4"/>
      <c r="P54" s="47" t="s">
        <v>69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8"/>
    </row>
    <row r="55">
      <c r="A55" s="69"/>
      <c r="B55" s="70" t="s">
        <v>70</v>
      </c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2"/>
      <c r="O55" s="69"/>
      <c r="P55" s="70" t="s">
        <v>70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2"/>
    </row>
    <row r="56">
      <c r="A56" s="73"/>
      <c r="B56" s="7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34"/>
      <c r="O56" s="73"/>
      <c r="P56" s="7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4"/>
    </row>
  </sheetData>
  <mergeCells count="4">
    <mergeCell ref="F8:H8"/>
    <mergeCell ref="F48:I48"/>
    <mergeCell ref="T7:V7"/>
    <mergeCell ref="T48:W48"/>
  </mergeCells>
  <drawing r:id="rId1"/>
</worksheet>
</file>